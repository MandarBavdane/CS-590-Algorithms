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STERS\Stevens\SEM2\Algorithms\"/>
    </mc:Choice>
  </mc:AlternateContent>
  <bookViews>
    <workbookView xWindow="0" yWindow="0" windowWidth="23040" windowHeight="9192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6" i="1"/>
  <c r="H7" i="1"/>
  <c r="H8" i="1"/>
  <c r="H10" i="1"/>
  <c r="H11" i="1"/>
  <c r="H12" i="1"/>
  <c r="H14" i="1"/>
  <c r="H15" i="1"/>
  <c r="H16" i="1"/>
  <c r="I3" i="1"/>
  <c r="I4" i="1"/>
  <c r="I6" i="1"/>
  <c r="I7" i="1"/>
  <c r="I8" i="1"/>
  <c r="I10" i="1"/>
  <c r="I11" i="1"/>
  <c r="I12" i="1"/>
  <c r="I14" i="1"/>
  <c r="I15" i="1"/>
  <c r="I16" i="1"/>
  <c r="I2" i="1"/>
  <c r="G3" i="1"/>
  <c r="G4" i="1"/>
  <c r="G6" i="1"/>
  <c r="G7" i="1"/>
  <c r="G8" i="1"/>
  <c r="G10" i="1"/>
  <c r="G11" i="1"/>
  <c r="G12" i="1"/>
  <c r="G14" i="1"/>
  <c r="G15" i="1"/>
  <c r="G16" i="1"/>
  <c r="G2" i="1"/>
  <c r="F3" i="1"/>
  <c r="F4" i="1"/>
  <c r="F6" i="1"/>
  <c r="F7" i="1"/>
  <c r="F8" i="1"/>
  <c r="F10" i="1"/>
  <c r="F11" i="1"/>
  <c r="F12" i="1"/>
  <c r="F14" i="1"/>
  <c r="F15" i="1"/>
  <c r="F16" i="1"/>
  <c r="F2" i="1"/>
</calcChain>
</file>

<file path=xl/sharedStrings.xml><?xml version="1.0" encoding="utf-8"?>
<sst xmlns="http://schemas.openxmlformats.org/spreadsheetml/2006/main" count="34" uniqueCount="25">
  <si>
    <t>nmin</t>
  </si>
  <si>
    <t>tmin_ms</t>
  </si>
  <si>
    <t>nmax</t>
  </si>
  <si>
    <t>tmax_ms</t>
  </si>
  <si>
    <t>tmax/tmin</t>
  </si>
  <si>
    <t>n ratio</t>
  </si>
  <si>
    <t>n log n ratio</t>
  </si>
  <si>
    <t>n2 ratio</t>
  </si>
  <si>
    <t>Behavior</t>
  </si>
  <si>
    <t>SC</t>
  </si>
  <si>
    <t>Quadratic</t>
  </si>
  <si>
    <t>SS</t>
  </si>
  <si>
    <t>SR</t>
  </si>
  <si>
    <t>IC</t>
  </si>
  <si>
    <t>IS</t>
  </si>
  <si>
    <t>Linear</t>
  </si>
  <si>
    <t>IR</t>
  </si>
  <si>
    <t>MC</t>
  </si>
  <si>
    <t>n log n</t>
  </si>
  <si>
    <t>MS</t>
  </si>
  <si>
    <t>MR</t>
  </si>
  <si>
    <t>QC</t>
  </si>
  <si>
    <t>QS</t>
  </si>
  <si>
    <t>QR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</si>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</sst>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zoomScale="154" workbookViewId="0">
      <selection sqref="A1:J16"/>
    </sheetView>
  </sheetViews>
  <sheetFormatPr defaultRowHeight="14.4" x14ac:dyDescent="0.3"/>
  <cols>
    <col min="4" max="4" width="11" bestFit="1" customWidth="1"/>
    <col min="5" max="5" width="10.6640625" customWidth="1"/>
    <col min="6" max="6" width="11.44140625" customWidth="1"/>
    <col min="7" max="8" width="16.21875" customWidth="1"/>
    <col min="10" max="10" width="17.21875" customWidth="1"/>
  </cols>
  <sheetData>
    <row r="1" spans="1:10" x14ac:dyDescent="0.3">
      <c r="A1" s="2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4" t="s">
        <v>9</v>
      </c>
      <c r="B2" s="4">
        <v>6000</v>
      </c>
      <c r="C2" s="4">
        <v>38</v>
      </c>
      <c r="D2" s="4">
        <v>450000</v>
      </c>
      <c r="E2" s="4">
        <v>204135</v>
      </c>
      <c r="F2" s="4">
        <f>(E2/C2)</f>
        <v>5371.9736842105267</v>
      </c>
      <c r="G2" s="4">
        <f>(D2/B2)</f>
        <v>75</v>
      </c>
      <c r="H2" s="4">
        <f>(D2*LN(D2))/(B2*LN(B2))</f>
        <v>112.22180120239963</v>
      </c>
      <c r="I2" s="4">
        <f>(G2^2)</f>
        <v>5625</v>
      </c>
      <c r="J2" s="4" t="s">
        <v>10</v>
      </c>
    </row>
    <row r="3" spans="1:10" x14ac:dyDescent="0.3">
      <c r="A3" s="4" t="s">
        <v>11</v>
      </c>
      <c r="B3" s="4">
        <v>6000</v>
      </c>
      <c r="C3" s="4">
        <v>37</v>
      </c>
      <c r="D3" s="4">
        <v>450000</v>
      </c>
      <c r="E3" s="4">
        <v>203376</v>
      </c>
      <c r="F3" s="4">
        <f t="shared" ref="F3:F16" si="0">(E3/C3)</f>
        <v>5496.6486486486483</v>
      </c>
      <c r="G3" s="4">
        <f t="shared" ref="G3:G16" si="1">(D3/B3)</f>
        <v>75</v>
      </c>
      <c r="H3" s="4">
        <f t="shared" ref="H3:H16" si="2">(D3*LN(D3))/(B3*LN(B3))</f>
        <v>112.22180120239963</v>
      </c>
      <c r="I3" s="4">
        <f t="shared" ref="I3:I16" si="3">(G3^2)</f>
        <v>5625</v>
      </c>
      <c r="J3" s="4" t="s">
        <v>10</v>
      </c>
    </row>
    <row r="4" spans="1:10" x14ac:dyDescent="0.3">
      <c r="A4" s="4" t="s">
        <v>12</v>
      </c>
      <c r="B4" s="4">
        <v>6000</v>
      </c>
      <c r="C4" s="4">
        <v>37</v>
      </c>
      <c r="D4" s="4">
        <v>450000</v>
      </c>
      <c r="E4" s="4">
        <v>223977</v>
      </c>
      <c r="F4" s="4">
        <f t="shared" si="0"/>
        <v>6053.4324324324325</v>
      </c>
      <c r="G4" s="4">
        <f t="shared" si="1"/>
        <v>75</v>
      </c>
      <c r="H4" s="4">
        <f t="shared" si="2"/>
        <v>112.22180120239963</v>
      </c>
      <c r="I4" s="4">
        <f t="shared" si="3"/>
        <v>5625</v>
      </c>
      <c r="J4" s="4" t="s">
        <v>10</v>
      </c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3" t="s">
        <v>13</v>
      </c>
      <c r="B6" s="3">
        <v>9500000</v>
      </c>
      <c r="C6" s="3">
        <v>33</v>
      </c>
      <c r="D6" s="3">
        <v>100000000</v>
      </c>
      <c r="E6" s="3">
        <v>310</v>
      </c>
      <c r="F6" s="3">
        <f t="shared" si="0"/>
        <v>9.3939393939393945</v>
      </c>
      <c r="G6" s="3">
        <f t="shared" si="1"/>
        <v>10.526315789473685</v>
      </c>
      <c r="H6" s="3">
        <f t="shared" si="2"/>
        <v>12.068481223870938</v>
      </c>
      <c r="I6" s="3">
        <f t="shared" si="3"/>
        <v>110.80332409972301</v>
      </c>
      <c r="J6" s="3" t="s">
        <v>15</v>
      </c>
    </row>
    <row r="7" spans="1:10" x14ac:dyDescent="0.3">
      <c r="A7" s="3" t="s">
        <v>14</v>
      </c>
      <c r="B7" s="3">
        <v>10000000</v>
      </c>
      <c r="C7" s="3">
        <v>33</v>
      </c>
      <c r="D7" s="3">
        <v>100000000</v>
      </c>
      <c r="E7" s="3">
        <v>400</v>
      </c>
      <c r="F7" s="3">
        <f t="shared" si="0"/>
        <v>12.121212121212121</v>
      </c>
      <c r="G7" s="3">
        <f t="shared" si="1"/>
        <v>10</v>
      </c>
      <c r="H7" s="3">
        <f t="shared" si="2"/>
        <v>11.428571428571429</v>
      </c>
      <c r="I7" s="3">
        <f t="shared" si="3"/>
        <v>100</v>
      </c>
      <c r="J7" s="3" t="s">
        <v>15</v>
      </c>
    </row>
    <row r="8" spans="1:10" x14ac:dyDescent="0.3">
      <c r="A8" s="3" t="s">
        <v>16</v>
      </c>
      <c r="B8" s="3">
        <v>7000</v>
      </c>
      <c r="C8" s="3">
        <v>38</v>
      </c>
      <c r="D8" s="3">
        <v>1000000</v>
      </c>
      <c r="E8" s="3">
        <v>159807</v>
      </c>
      <c r="F8" s="3">
        <f t="shared" si="0"/>
        <v>4205.4473684210525</v>
      </c>
      <c r="G8" s="3">
        <f t="shared" si="1"/>
        <v>142.85714285714286</v>
      </c>
      <c r="H8" s="3">
        <f t="shared" si="2"/>
        <v>222.9183360795864</v>
      </c>
      <c r="I8" s="3">
        <f t="shared" si="3"/>
        <v>20408.163265306124</v>
      </c>
      <c r="J8" s="3" t="s">
        <v>10</v>
      </c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4" t="s">
        <v>17</v>
      </c>
      <c r="B10" s="4">
        <v>700000</v>
      </c>
      <c r="C10" s="4">
        <v>37</v>
      </c>
      <c r="D10" s="4">
        <v>100000000</v>
      </c>
      <c r="E10" s="4">
        <v>7126</v>
      </c>
      <c r="F10" s="4">
        <f t="shared" si="0"/>
        <v>192.59459459459458</v>
      </c>
      <c r="G10" s="4">
        <f t="shared" si="1"/>
        <v>142.85714285714286</v>
      </c>
      <c r="H10" s="4">
        <f t="shared" si="2"/>
        <v>195.52403313569661</v>
      </c>
      <c r="I10" s="4">
        <f t="shared" si="3"/>
        <v>20408.163265306124</v>
      </c>
      <c r="J10" s="4" t="s">
        <v>18</v>
      </c>
    </row>
    <row r="11" spans="1:10" x14ac:dyDescent="0.3">
      <c r="A11" s="4" t="s">
        <v>19</v>
      </c>
      <c r="B11" s="4">
        <v>700000</v>
      </c>
      <c r="C11" s="4">
        <v>36</v>
      </c>
      <c r="D11" s="4">
        <v>100000000</v>
      </c>
      <c r="E11" s="4">
        <v>7813</v>
      </c>
      <c r="F11" s="4">
        <f t="shared" si="0"/>
        <v>217.02777777777777</v>
      </c>
      <c r="G11" s="4">
        <f t="shared" si="1"/>
        <v>142.85714285714286</v>
      </c>
      <c r="H11" s="4">
        <f t="shared" si="2"/>
        <v>195.52403313569661</v>
      </c>
      <c r="I11" s="4">
        <f t="shared" si="3"/>
        <v>20408.163265306124</v>
      </c>
      <c r="J11" s="4" t="s">
        <v>18</v>
      </c>
    </row>
    <row r="12" spans="1:10" x14ac:dyDescent="0.3">
      <c r="A12" s="4" t="s">
        <v>20</v>
      </c>
      <c r="B12" s="4">
        <v>300000</v>
      </c>
      <c r="C12" s="4">
        <v>36</v>
      </c>
      <c r="D12" s="4">
        <v>100000000</v>
      </c>
      <c r="E12" s="4">
        <v>13550</v>
      </c>
      <c r="F12" s="4">
        <f t="shared" si="0"/>
        <v>376.38888888888891</v>
      </c>
      <c r="G12" s="4">
        <f t="shared" si="1"/>
        <v>333.33333333333331</v>
      </c>
      <c r="H12" s="4">
        <f t="shared" si="2"/>
        <v>486.87376865516484</v>
      </c>
      <c r="I12" s="4">
        <f t="shared" si="3"/>
        <v>111111.11111111109</v>
      </c>
      <c r="J12" s="4" t="s">
        <v>18</v>
      </c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3" t="s">
        <v>21</v>
      </c>
      <c r="B14" s="3">
        <v>6500</v>
      </c>
      <c r="C14" s="3">
        <v>33</v>
      </c>
      <c r="D14" s="3">
        <v>43399</v>
      </c>
      <c r="E14" s="3">
        <v>1484</v>
      </c>
      <c r="F14" s="3">
        <f t="shared" si="0"/>
        <v>44.969696969696969</v>
      </c>
      <c r="G14" s="3">
        <f t="shared" si="1"/>
        <v>6.6767692307692306</v>
      </c>
      <c r="H14" s="3">
        <f t="shared" si="2"/>
        <v>8.1206623450562159</v>
      </c>
      <c r="I14" s="3">
        <f t="shared" si="3"/>
        <v>44.579247360946745</v>
      </c>
      <c r="J14" s="3" t="s">
        <v>10</v>
      </c>
    </row>
    <row r="15" spans="1:10" x14ac:dyDescent="0.3">
      <c r="A15" s="3" t="s">
        <v>22</v>
      </c>
      <c r="B15" s="3">
        <v>400000</v>
      </c>
      <c r="C15" s="3">
        <v>34</v>
      </c>
      <c r="D15" s="3">
        <v>100000000</v>
      </c>
      <c r="E15" s="3">
        <v>519775</v>
      </c>
      <c r="F15" s="3">
        <f t="shared" si="0"/>
        <v>15287.5</v>
      </c>
      <c r="G15" s="3">
        <f t="shared" si="1"/>
        <v>250</v>
      </c>
      <c r="H15" s="3">
        <f t="shared" si="2"/>
        <v>357.01152845489293</v>
      </c>
      <c r="I15" s="3">
        <f t="shared" si="3"/>
        <v>62500</v>
      </c>
      <c r="J15" s="3" t="s">
        <v>18</v>
      </c>
    </row>
    <row r="16" spans="1:10" x14ac:dyDescent="0.3">
      <c r="A16" s="3" t="s">
        <v>23</v>
      </c>
      <c r="B16" s="3">
        <v>200000</v>
      </c>
      <c r="C16" s="3">
        <v>28</v>
      </c>
      <c r="D16" s="3">
        <v>100000000</v>
      </c>
      <c r="E16" s="3">
        <v>176499</v>
      </c>
      <c r="F16" s="3">
        <f t="shared" si="0"/>
        <v>6303.5357142857147</v>
      </c>
      <c r="G16" s="3">
        <f t="shared" si="1"/>
        <v>500</v>
      </c>
      <c r="H16" s="3">
        <f t="shared" si="2"/>
        <v>754.57033883449651</v>
      </c>
      <c r="I16" s="3">
        <f t="shared" si="3"/>
        <v>250000</v>
      </c>
      <c r="J16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2026-03-27T22:27:06Z</dcterms:created>
  <dcterms:modified xsi:type="dcterms:W3CDTF">2026-03-28T00:50:37Z</dcterms:modified>
</cp:coreProperties>
</file>